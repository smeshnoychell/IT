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F7" i="1"/>
  <c r="D7" i="1"/>
  <c r="B7" i="1"/>
  <c r="K3" i="1"/>
  <c r="K4" i="1"/>
  <c r="K5" i="1"/>
  <c r="K6" i="1"/>
  <c r="J3" i="1"/>
  <c r="J4" i="1"/>
  <c r="J5" i="1"/>
  <c r="J6" i="1"/>
  <c r="K2" i="1"/>
  <c r="J2" i="1"/>
  <c r="D3" i="1"/>
  <c r="E3" i="1" s="1"/>
  <c r="D4" i="1"/>
  <c r="E4" i="1" s="1"/>
  <c r="D5" i="1"/>
  <c r="E5" i="1" s="1"/>
  <c r="D6" i="1"/>
  <c r="E6" i="1" s="1"/>
  <c r="D2" i="1"/>
  <c r="E2" i="1" s="1"/>
  <c r="B9" i="1"/>
  <c r="F2" i="1" l="1"/>
  <c r="F6" i="1"/>
  <c r="F5" i="1"/>
  <c r="F4" i="1"/>
  <c r="F3" i="1"/>
</calcChain>
</file>

<file path=xl/sharedStrings.xml><?xml version="1.0" encoding="utf-8"?>
<sst xmlns="http://schemas.openxmlformats.org/spreadsheetml/2006/main" count="16" uniqueCount="16">
  <si>
    <t>ФИО сотрудника</t>
  </si>
  <si>
    <t>Оклад (руб.)</t>
  </si>
  <si>
    <t>Премия(%)</t>
  </si>
  <si>
    <t>Премия(руб.)</t>
  </si>
  <si>
    <t>НДФЛ(13%)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</si>
  <si>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</si>
  <si>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</si>
  <si>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</si>
  <si>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</si>
  <si>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</si>
  <si>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</si>
  <si>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</si>
  <si>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</si>
  <si>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</si>
  <si>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ИТОГО</t>
  </si>
  <si>
    <t>средняя зарплата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</si>
</sst>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₽-419]_-;\-* #,##0.00\ [$₽-419]_-;_-* &quot;-&quot;??\ [$₽-419]_-;_-@_-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quotePrefix="1" applyNumberFormat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B9" sqref="B9"/>
    </sheetView>
  </sheetViews>
  <sheetFormatPr defaultRowHeight="15" x14ac:dyDescent="0.25"/>
  <cols>
    <col min="1" max="1" width="21.7109375" customWidth="1"/>
    <col min="2" max="2" width="12.42578125" customWidth="1"/>
    <col min="3" max="3" width="11.7109375" customWidth="1"/>
    <col min="4" max="4" width="13.42578125" style="3" customWidth="1"/>
    <col min="5" max="5" width="19.42578125" style="3" customWidth="1"/>
    <col min="6" max="6" width="13.85546875" style="3" customWidth="1"/>
    <col min="7" max="7" width="14.140625" customWidth="1"/>
    <col min="8" max="8" width="16.85546875" customWidth="1"/>
    <col min="9" max="9" width="16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11" x14ac:dyDescent="0.25">
      <c r="A2" t="s">
        <v>6</v>
      </c>
      <c r="B2">
        <v>50000</v>
      </c>
      <c r="C2">
        <v>20</v>
      </c>
      <c r="D2" s="3">
        <f>B2*C2/100</f>
        <v>10000</v>
      </c>
      <c r="E2" s="4">
        <f>(B2+D2)*$H$2</f>
        <v>9000</v>
      </c>
      <c r="F2" s="3">
        <f>B2+D2-E2</f>
        <v>51000</v>
      </c>
      <c r="G2">
        <v>1</v>
      </c>
      <c r="H2">
        <v>0.15</v>
      </c>
      <c r="I2">
        <v>1.5</v>
      </c>
      <c r="J2">
        <f>B2*$I$2</f>
        <v>75000</v>
      </c>
      <c r="K2">
        <f>B2*$I$2</f>
        <v>75000</v>
      </c>
    </row>
    <row r="3" spans="1:11" x14ac:dyDescent="0.25">
      <c r="A3" t="s">
        <v>7</v>
      </c>
      <c r="B3">
        <v>45000</v>
      </c>
      <c r="C3">
        <v>15</v>
      </c>
      <c r="D3" s="3">
        <f t="shared" ref="D3:D6" si="0">B3*C3/100</f>
        <v>6750</v>
      </c>
      <c r="E3" s="4">
        <f t="shared" ref="E3:E6" si="1">(B3+D3)*$H$2</f>
        <v>7762.5</v>
      </c>
      <c r="F3" s="3">
        <f t="shared" ref="F3:F6" si="2">B3+D3-E3</f>
        <v>43987.5</v>
      </c>
      <c r="G3">
        <v>2</v>
      </c>
      <c r="H3" s="5"/>
      <c r="J3">
        <f t="shared" ref="J3:J7" si="3">B3*$I$2</f>
        <v>67500</v>
      </c>
      <c r="K3">
        <f t="shared" ref="K3:K6" si="4">B3*$I$2</f>
        <v>67500</v>
      </c>
    </row>
    <row r="4" spans="1:11" x14ac:dyDescent="0.25">
      <c r="A4" t="s">
        <v>8</v>
      </c>
      <c r="B4">
        <v>62000</v>
      </c>
      <c r="C4">
        <v>25</v>
      </c>
      <c r="D4" s="3">
        <f t="shared" si="0"/>
        <v>15500</v>
      </c>
      <c r="E4" s="4">
        <f t="shared" si="1"/>
        <v>11625</v>
      </c>
      <c r="F4" s="3">
        <f t="shared" si="2"/>
        <v>65875</v>
      </c>
      <c r="G4">
        <v>3</v>
      </c>
      <c r="J4">
        <f t="shared" si="3"/>
        <v>93000</v>
      </c>
      <c r="K4">
        <f t="shared" si="4"/>
        <v>93000</v>
      </c>
    </row>
    <row r="5" spans="1:11" x14ac:dyDescent="0.25">
      <c r="A5" t="s">
        <v>9</v>
      </c>
      <c r="B5">
        <v>55000</v>
      </c>
      <c r="C5">
        <v>10</v>
      </c>
      <c r="D5" s="3">
        <f t="shared" si="0"/>
        <v>5500</v>
      </c>
      <c r="E5" s="4">
        <f t="shared" si="1"/>
        <v>9075</v>
      </c>
      <c r="F5" s="3">
        <f t="shared" si="2"/>
        <v>51425</v>
      </c>
      <c r="G5">
        <v>4</v>
      </c>
      <c r="J5">
        <f t="shared" si="3"/>
        <v>82500</v>
      </c>
      <c r="K5">
        <f t="shared" si="4"/>
        <v>82500</v>
      </c>
    </row>
    <row r="6" spans="1:11" x14ac:dyDescent="0.25">
      <c r="A6" t="s">
        <v>10</v>
      </c>
      <c r="B6">
        <v>40000</v>
      </c>
      <c r="C6">
        <v>30</v>
      </c>
      <c r="D6" s="3">
        <f t="shared" si="0"/>
        <v>12000</v>
      </c>
      <c r="E6" s="4">
        <f t="shared" si="1"/>
        <v>7800</v>
      </c>
      <c r="F6" s="3">
        <f t="shared" si="2"/>
        <v>44200</v>
      </c>
      <c r="G6">
        <v>5</v>
      </c>
      <c r="J6">
        <f t="shared" si="3"/>
        <v>60000</v>
      </c>
      <c r="K6">
        <f t="shared" si="4"/>
        <v>60000</v>
      </c>
    </row>
    <row r="7" spans="1:11" x14ac:dyDescent="0.25">
      <c r="A7" t="s">
        <v>14</v>
      </c>
      <c r="B7">
        <f>SUM(B2:B6)</f>
        <v>252000</v>
      </c>
      <c r="D7" s="3">
        <f>SUM(B2:B6)</f>
        <v>252000</v>
      </c>
      <c r="E7" s="3">
        <f t="shared" ref="E7:F7" si="5">SUM(C2:C6)</f>
        <v>100</v>
      </c>
      <c r="F7" s="3">
        <f t="shared" si="5"/>
        <v>49750</v>
      </c>
    </row>
    <row r="9" spans="1:11" x14ac:dyDescent="0.25">
      <c r="A9" t="s">
        <v>15</v>
      </c>
      <c r="B9" t="e">
        <f ca="1">E14AVERAGE(F2:F6)</f>
        <v>#NAME?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7" sqref="B5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2026-09-22T11:34:34Z</dcterms:created>
  <dcterms:modified xsi:type="dcterms:W3CDTF">2026-09-29T11:59:25Z</dcterms:modified>
</cp:coreProperties>
</file>